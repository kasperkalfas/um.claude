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ykonanie" sheetId="1" state="visible" r:id="rId1"/>
    <sheet xmlns:r="http://schemas.openxmlformats.org/officeDocument/2006/relationships" name="Prognoz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&quot;zł&quot;"/>
    <numFmt numFmtId="165" formatCode="0.0%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164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2" customWidth="1" min="2" max="2"/>
    <col width="15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5" customWidth="1" min="16" max="16"/>
    <col width="10" customWidth="1" min="17" max="17"/>
  </cols>
  <sheetData>
    <row r="1">
      <c r="A1" s="1" t="inlineStr">
        <is>
          <t>Wykonanie wydatków 2026 wg działów – Urząd Miejski w Opolu (dane fikcyjne)</t>
        </is>
      </c>
    </row>
    <row r="5">
      <c r="A5" s="2" t="inlineStr">
        <is>
          <t>Dział</t>
        </is>
      </c>
      <c r="B5" s="2" t="inlineStr">
        <is>
          <t>Nazwa działu</t>
        </is>
      </c>
      <c r="C5" s="2" t="inlineStr">
        <is>
          <t>Plan roczny</t>
        </is>
      </c>
      <c r="D5" s="2" t="inlineStr">
        <is>
          <t>I</t>
        </is>
      </c>
      <c r="E5" s="2" t="inlineStr">
        <is>
          <t>II</t>
        </is>
      </c>
      <c r="F5" s="2" t="inlineStr">
        <is>
          <t>III</t>
        </is>
      </c>
      <c r="G5" s="2" t="inlineStr">
        <is>
          <t>IV</t>
        </is>
      </c>
      <c r="H5" s="2" t="inlineStr">
        <is>
          <t>V</t>
        </is>
      </c>
      <c r="I5" s="2" t="inlineStr">
        <is>
          <t>VI</t>
        </is>
      </c>
      <c r="J5" s="2" t="inlineStr">
        <is>
          <t>VII</t>
        </is>
      </c>
      <c r="K5" s="2" t="inlineStr">
        <is>
          <t>VIII</t>
        </is>
      </c>
      <c r="L5" s="2" t="inlineStr">
        <is>
          <t>IX</t>
        </is>
      </c>
      <c r="M5" s="2" t="inlineStr">
        <is>
          <t>X</t>
        </is>
      </c>
      <c r="N5" s="2" t="inlineStr">
        <is>
          <t>XI</t>
        </is>
      </c>
      <c r="O5" s="2" t="inlineStr">
        <is>
          <t>XII</t>
        </is>
      </c>
      <c r="P5" s="2" t="inlineStr">
        <is>
          <t>Razem</t>
        </is>
      </c>
      <c r="Q5" s="2" t="inlineStr">
        <is>
          <t>% planu</t>
        </is>
      </c>
    </row>
    <row r="6">
      <c r="A6" t="inlineStr">
        <is>
          <t>600</t>
        </is>
      </c>
      <c r="B6" t="inlineStr">
        <is>
          <t>Transport i łączność</t>
        </is>
      </c>
      <c r="C6" s="3" t="n">
        <v>24000000</v>
      </c>
      <c r="D6" s="3" t="n">
        <v>1711000</v>
      </c>
      <c r="E6" s="3" t="n">
        <v>1942000</v>
      </c>
      <c r="F6" s="3" t="n">
        <v>1947000</v>
      </c>
      <c r="G6" s="3" t="n">
        <v>2156000</v>
      </c>
      <c r="H6" s="3" t="n">
        <v>1702000</v>
      </c>
      <c r="I6" s="3" t="n">
        <v>1774000</v>
      </c>
      <c r="J6" s="3" t="n">
        <v>2001000</v>
      </c>
      <c r="K6" s="3" t="n">
        <v>1974000</v>
      </c>
      <c r="L6" s="3" t="n"/>
      <c r="M6" s="3" t="n"/>
      <c r="N6" s="3" t="n"/>
      <c r="O6" s="3" t="n"/>
      <c r="P6" s="3">
        <f>SUM(D6:O6)</f>
        <v/>
      </c>
      <c r="Q6" s="4">
        <f>IF(C6=0,"",P6/C6)</f>
        <v/>
      </c>
    </row>
    <row r="7">
      <c r="A7" t="inlineStr">
        <is>
          <t>750</t>
        </is>
      </c>
      <c r="B7" t="inlineStr">
        <is>
          <t>Administracja publiczna</t>
        </is>
      </c>
      <c r="C7" s="3" t="n">
        <v>18500000</v>
      </c>
      <c r="D7" s="3" t="n">
        <v>1626000</v>
      </c>
      <c r="E7" s="3" t="n">
        <v>1518000</v>
      </c>
      <c r="F7" s="3" t="n">
        <v>1602000</v>
      </c>
      <c r="G7" s="3" t="n">
        <v>1619000</v>
      </c>
      <c r="H7" s="3" t="n">
        <v>1612000</v>
      </c>
      <c r="I7" s="3" t="n">
        <v>1535000</v>
      </c>
      <c r="J7" s="3" t="n">
        <v>1375000</v>
      </c>
      <c r="K7" s="3" t="n">
        <v>1548000</v>
      </c>
      <c r="L7" s="3" t="n"/>
      <c r="M7" s="3" t="n"/>
      <c r="N7" s="3" t="n"/>
      <c r="O7" s="3" t="n"/>
      <c r="P7" s="3">
        <f>SUM(D7:O7)</f>
        <v/>
      </c>
      <c r="Q7" s="4">
        <f>IF(C7=0,"",P7/C7)</f>
        <v/>
      </c>
    </row>
    <row r="8">
      <c r="A8" t="inlineStr">
        <is>
          <t>801</t>
        </is>
      </c>
      <c r="B8" t="inlineStr">
        <is>
          <t>Oświata i wychowanie</t>
        </is>
      </c>
      <c r="C8" s="3" t="n">
        <v>62000000</v>
      </c>
      <c r="D8" s="3" t="n">
        <v>4408000</v>
      </c>
      <c r="E8" s="3" t="n">
        <v>5503000</v>
      </c>
      <c r="F8" s="3" t="n">
        <v>4934000</v>
      </c>
      <c r="G8" s="3" t="n">
        <v>5500000</v>
      </c>
      <c r="H8" s="3" t="n">
        <v>5299000</v>
      </c>
      <c r="I8" s="3" t="n">
        <v>5290000</v>
      </c>
      <c r="J8" s="3" t="n">
        <v>4563000</v>
      </c>
      <c r="K8" s="3" t="n">
        <v>4627000</v>
      </c>
      <c r="L8" s="3" t="n"/>
      <c r="M8" s="3" t="n"/>
      <c r="N8" s="3" t="n"/>
      <c r="O8" s="3" t="n"/>
      <c r="P8" s="3">
        <f>SUM(D8:O8)</f>
        <v/>
      </c>
      <c r="Q8" s="4">
        <f>IF(C8=0,"",P8/C8)</f>
        <v/>
      </c>
    </row>
    <row r="9">
      <c r="A9" t="inlineStr">
        <is>
          <t>851</t>
        </is>
      </c>
      <c r="B9" t="inlineStr">
        <is>
          <t>Ochrona zdrowia</t>
        </is>
      </c>
      <c r="C9" s="3" t="n">
        <v>3200000</v>
      </c>
      <c r="D9" s="3" t="n">
        <v>297000</v>
      </c>
      <c r="E9" s="3" t="n">
        <v>293000</v>
      </c>
      <c r="F9" s="3" t="n">
        <v>283000</v>
      </c>
      <c r="G9" s="3" t="n">
        <v>299000</v>
      </c>
      <c r="H9" s="3" t="n">
        <v>260000</v>
      </c>
      <c r="I9" s="3" t="n">
        <v>225000</v>
      </c>
      <c r="J9" s="3" t="n">
        <v>246000</v>
      </c>
      <c r="K9" s="3" t="n">
        <v>263000</v>
      </c>
      <c r="L9" s="3" t="n"/>
      <c r="M9" s="3" t="n"/>
      <c r="N9" s="3" t="n"/>
      <c r="O9" s="3" t="n"/>
      <c r="P9" s="3">
        <f>SUM(D9:O9)</f>
        <v/>
      </c>
      <c r="Q9" s="4">
        <f>IF(C9=0,"",P9/C9)</f>
        <v/>
      </c>
    </row>
    <row r="10">
      <c r="A10" t="inlineStr">
        <is>
          <t>852</t>
        </is>
      </c>
      <c r="B10" t="inlineStr">
        <is>
          <t>Pomoc społeczna</t>
        </is>
      </c>
      <c r="C10" s="3" t="n">
        <v>21000000</v>
      </c>
      <c r="D10" s="3" t="n">
        <v>1588000</v>
      </c>
      <c r="E10" s="3" t="n">
        <v>1675000</v>
      </c>
      <c r="F10" s="3" t="n">
        <v>1895000</v>
      </c>
      <c r="G10" s="3" t="n">
        <v>1805000</v>
      </c>
      <c r="H10" s="3" t="n">
        <v>1738000</v>
      </c>
      <c r="I10" s="3" t="n">
        <v>1448000</v>
      </c>
      <c r="J10" s="3" t="n">
        <v>1808000</v>
      </c>
      <c r="K10" s="3" t="n">
        <v>1626000</v>
      </c>
      <c r="L10" s="3" t="n"/>
      <c r="M10" s="3" t="n"/>
      <c r="N10" s="3" t="n"/>
      <c r="O10" s="3" t="n"/>
      <c r="P10" s="3">
        <f>SUM(D10:O10)</f>
        <v/>
      </c>
      <c r="Q10" s="4">
        <f>IF(C10=0,"",P10/C10)</f>
        <v/>
      </c>
    </row>
    <row r="11">
      <c r="A11" t="inlineStr">
        <is>
          <t>900</t>
        </is>
      </c>
      <c r="B11" t="inlineStr">
        <is>
          <t>Gospodarka komunalna i ochrona środowiska</t>
        </is>
      </c>
      <c r="C11" s="3" t="n">
        <v>15800000</v>
      </c>
      <c r="D11" s="3" t="n">
        <v>1246000</v>
      </c>
      <c r="E11" s="3" t="n">
        <v>1237000</v>
      </c>
      <c r="F11" s="3" t="n">
        <v>1311000</v>
      </c>
      <c r="G11" s="3" t="n">
        <v>1277000</v>
      </c>
      <c r="H11" s="3" t="n">
        <v>1126000</v>
      </c>
      <c r="I11" s="3" t="n">
        <v>1280000</v>
      </c>
      <c r="J11" s="3" t="n">
        <v>1376000</v>
      </c>
      <c r="K11" s="3" t="n">
        <v>1317000</v>
      </c>
      <c r="L11" s="3" t="n"/>
      <c r="M11" s="3" t="n"/>
      <c r="N11" s="3" t="n"/>
      <c r="O11" s="3" t="n"/>
      <c r="P11" s="3">
        <f>SUM(D11:O11)</f>
        <v/>
      </c>
      <c r="Q11" s="4">
        <f>IF(C11=0,"",P11/C11)</f>
        <v/>
      </c>
    </row>
    <row r="12">
      <c r="A12" t="inlineStr">
        <is>
          <t>921</t>
        </is>
      </c>
      <c r="B12" t="inlineStr">
        <is>
          <t>Kultura i ochrona dziedzictwa narodowego</t>
        </is>
      </c>
      <c r="C12" s="3" t="n">
        <v>7400000</v>
      </c>
      <c r="D12" s="3" t="n">
        <v>597000</v>
      </c>
      <c r="E12" s="3" t="n">
        <v>675000</v>
      </c>
      <c r="F12" s="3" t="n">
        <v>554000</v>
      </c>
      <c r="G12" s="3" t="n">
        <v>583000</v>
      </c>
      <c r="H12" s="3" t="n">
        <v>677000</v>
      </c>
      <c r="I12" s="3" t="n">
        <v>594000</v>
      </c>
      <c r="J12" s="3" t="n">
        <v>601000</v>
      </c>
      <c r="K12" s="3" t="n">
        <v>510000</v>
      </c>
      <c r="L12" s="3" t="n"/>
      <c r="M12" s="3" t="n"/>
      <c r="N12" s="3" t="n"/>
      <c r="O12" s="3" t="n"/>
      <c r="P12" s="3">
        <f>SUM(D12:O12)</f>
        <v/>
      </c>
      <c r="Q12" s="4">
        <f>IF(C12=0,"",P12/C12)</f>
        <v/>
      </c>
    </row>
    <row r="13">
      <c r="A13" t="inlineStr">
        <is>
          <t>926</t>
        </is>
      </c>
      <c r="B13" t="inlineStr">
        <is>
          <t>Kultura fizyczna</t>
        </is>
      </c>
      <c r="C13" s="3" t="n">
        <v>5600000</v>
      </c>
      <c r="D13" s="3" t="n">
        <v>414000</v>
      </c>
      <c r="E13" s="3" t="n">
        <v>401000</v>
      </c>
      <c r="F13" s="3" t="n">
        <v>390000</v>
      </c>
      <c r="G13" s="3" t="n">
        <v>481000</v>
      </c>
      <c r="H13" s="3" t="n">
        <v>507000</v>
      </c>
      <c r="I13" s="3" t="n">
        <v>397000</v>
      </c>
      <c r="J13" s="3" t="n">
        <v>470000</v>
      </c>
      <c r="K13" s="3" t="n">
        <v>448000</v>
      </c>
      <c r="L13" s="3" t="n"/>
      <c r="M13" s="3" t="n"/>
      <c r="N13" s="3" t="n"/>
      <c r="O13" s="3" t="n"/>
      <c r="P13" s="3">
        <f>SUM(D13:O13)</f>
        <v/>
      </c>
      <c r="Q13" s="4">
        <f>IF(C13=0,"",P13/C13)</f>
        <v/>
      </c>
    </row>
    <row r="14">
      <c r="A14" s="5" t="inlineStr">
        <is>
          <t>Razem</t>
        </is>
      </c>
      <c r="C14" s="6">
        <f>SUM(C6:C13)</f>
        <v/>
      </c>
      <c r="D14" s="6">
        <f>SUM(D6:D13)</f>
        <v/>
      </c>
      <c r="E14" s="6">
        <f>SUM(E6:E13)</f>
        <v/>
      </c>
      <c r="F14" s="6">
        <f>SUM(F6:F13)</f>
        <v/>
      </c>
      <c r="G14" s="6">
        <f>SUM(G6:G13)</f>
        <v/>
      </c>
      <c r="H14" s="6">
        <f>SUM(H6:H13)</f>
        <v/>
      </c>
      <c r="I14" s="6">
        <f>SUM(I6:I13)</f>
        <v/>
      </c>
      <c r="J14" s="6">
        <f>SUM(J6:J13)</f>
        <v/>
      </c>
      <c r="K14" s="6">
        <f>SUM(K6:K13)</f>
        <v/>
      </c>
      <c r="L14" s="6">
        <f>SUM(L6:L13)</f>
        <v/>
      </c>
      <c r="M14" s="6">
        <f>SUM(M6:M13)</f>
        <v/>
      </c>
      <c r="N14" s="6">
        <f>SUM(N6:N13)</f>
        <v/>
      </c>
      <c r="O14" s="6">
        <f>SUM(O6:O13)</f>
        <v/>
      </c>
      <c r="P14" s="6">
        <f>SUM(P6:P13)</f>
        <v/>
      </c>
      <c r="Q14" s="4">
        <f>IF(C14=0,"",P14/C14)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15" customWidth="1" min="3" max="3"/>
    <col width="20" customWidth="1" min="4" max="4"/>
    <col width="18" customWidth="1" min="5" max="5"/>
    <col width="16" customWidth="1" min="6" max="6"/>
    <col width="18" customWidth="1" min="7" max="7"/>
  </cols>
  <sheetData>
    <row r="1">
      <c r="A1" s="1" t="inlineStr">
        <is>
          <t>Prognoza wykonania rocznego – materiał dla banku (dane fikcyjne)</t>
        </is>
      </c>
    </row>
    <row r="2">
      <c r="A2" t="inlineStr">
        <is>
          <t>Liczba miesięcy z danymi:</t>
        </is>
      </c>
      <c r="B2" t="n">
        <v>8</v>
      </c>
    </row>
    <row r="5">
      <c r="A5" s="2" t="inlineStr">
        <is>
          <t>Dział</t>
        </is>
      </c>
      <c r="B5" s="2" t="inlineStr">
        <is>
          <t>Nazwa działu</t>
        </is>
      </c>
      <c r="C5" s="2" t="inlineStr">
        <is>
          <t>Plan roczny</t>
        </is>
      </c>
      <c r="D5" s="2" t="inlineStr">
        <is>
          <t>Wykonanie narastająco</t>
        </is>
      </c>
      <c r="E5" s="2" t="inlineStr">
        <is>
          <t>Średnia miesięczna</t>
        </is>
      </c>
      <c r="F5" s="2" t="inlineStr">
        <is>
          <t>Prognoza roczna</t>
        </is>
      </c>
      <c r="G5" s="2" t="inlineStr">
        <is>
          <t>Odchylenie od planu</t>
        </is>
      </c>
    </row>
    <row r="6">
      <c r="A6" t="inlineStr">
        <is>
          <t>600</t>
        </is>
      </c>
      <c r="B6" t="inlineStr">
        <is>
          <t>Transport i łączność</t>
        </is>
      </c>
      <c r="C6" s="3">
        <f>Wykonanie!C6</f>
        <v/>
      </c>
      <c r="D6" s="3">
        <f>Wykonanie!P6</f>
        <v/>
      </c>
      <c r="E6" s="3">
        <f>D6/$B$2</f>
        <v/>
      </c>
      <c r="F6" s="3">
        <f>E6*12</f>
        <v/>
      </c>
      <c r="G6" s="3">
        <f>F6-C6</f>
        <v/>
      </c>
    </row>
    <row r="7">
      <c r="A7" t="inlineStr">
        <is>
          <t>750</t>
        </is>
      </c>
      <c r="B7" t="inlineStr">
        <is>
          <t>Administracja publiczna</t>
        </is>
      </c>
      <c r="C7" s="3">
        <f>Wykonanie!C7</f>
        <v/>
      </c>
      <c r="D7" s="3">
        <f>Wykonanie!P7</f>
        <v/>
      </c>
      <c r="E7" s="3">
        <f>D7/$B$2</f>
        <v/>
      </c>
      <c r="F7" s="3">
        <f>E7*12</f>
        <v/>
      </c>
      <c r="G7" s="3">
        <f>F7-C7</f>
        <v/>
      </c>
    </row>
    <row r="8">
      <c r="A8" t="inlineStr">
        <is>
          <t>801</t>
        </is>
      </c>
      <c r="B8" t="inlineStr">
        <is>
          <t>Oświata i wychowanie</t>
        </is>
      </c>
      <c r="C8" s="3">
        <f>Wykonanie!C8</f>
        <v/>
      </c>
      <c r="D8" s="3">
        <f>Wykonanie!P8</f>
        <v/>
      </c>
      <c r="E8" s="3">
        <f>D8/$B$2</f>
        <v/>
      </c>
      <c r="F8" s="3">
        <f>E8*12</f>
        <v/>
      </c>
      <c r="G8" s="3">
        <f>F8-C8</f>
        <v/>
      </c>
    </row>
    <row r="9">
      <c r="A9" t="inlineStr">
        <is>
          <t>851</t>
        </is>
      </c>
      <c r="B9" t="inlineStr">
        <is>
          <t>Ochrona zdrowia</t>
        </is>
      </c>
      <c r="C9" s="3">
        <f>Wykonanie!C9</f>
        <v/>
      </c>
      <c r="D9" s="3">
        <f>Wykonanie!P9</f>
        <v/>
      </c>
      <c r="E9" s="3">
        <f>D9/$B$2</f>
        <v/>
      </c>
      <c r="F9" s="3">
        <f>E9*12</f>
        <v/>
      </c>
      <c r="G9" s="3">
        <f>F9-C9</f>
        <v/>
      </c>
    </row>
    <row r="10">
      <c r="A10" t="inlineStr">
        <is>
          <t>852</t>
        </is>
      </c>
      <c r="B10" t="inlineStr">
        <is>
          <t>Pomoc społeczna</t>
        </is>
      </c>
      <c r="C10" s="3">
        <f>Wykonanie!C10</f>
        <v/>
      </c>
      <c r="D10" s="3">
        <f>Wykonanie!P10</f>
        <v/>
      </c>
      <c r="E10" s="3">
        <f>D10/$B$2</f>
        <v/>
      </c>
      <c r="F10" s="3">
        <f>E10*12</f>
        <v/>
      </c>
      <c r="G10" s="3">
        <f>F10-C10</f>
        <v/>
      </c>
    </row>
    <row r="11">
      <c r="A11" t="inlineStr">
        <is>
          <t>900</t>
        </is>
      </c>
      <c r="B11" t="inlineStr">
        <is>
          <t>Gospodarka komunalna i ochrona środowiska</t>
        </is>
      </c>
      <c r="C11" s="3">
        <f>Wykonanie!C11</f>
        <v/>
      </c>
      <c r="D11" s="3">
        <f>Wykonanie!P11</f>
        <v/>
      </c>
      <c r="E11" s="3">
        <f>D11/$B$2</f>
        <v/>
      </c>
      <c r="F11" s="3">
        <f>E11*12</f>
        <v/>
      </c>
      <c r="G11" s="3">
        <f>F11-C11</f>
        <v/>
      </c>
    </row>
    <row r="12">
      <c r="A12" t="inlineStr">
        <is>
          <t>921</t>
        </is>
      </c>
      <c r="B12" t="inlineStr">
        <is>
          <t>Kultura i ochrona dziedzictwa narodowego</t>
        </is>
      </c>
      <c r="C12" s="3">
        <f>Wykonanie!C12</f>
        <v/>
      </c>
      <c r="D12" s="3">
        <f>Wykonanie!P12</f>
        <v/>
      </c>
      <c r="E12" s="3">
        <f>D12/$B$2</f>
        <v/>
      </c>
      <c r="F12" s="3">
        <f>E12*12</f>
        <v/>
      </c>
      <c r="G12" s="3">
        <f>F12-C12</f>
        <v/>
      </c>
    </row>
    <row r="13">
      <c r="A13" t="inlineStr">
        <is>
          <t>926</t>
        </is>
      </c>
      <c r="B13" t="inlineStr">
        <is>
          <t>Kultura fizyczna</t>
        </is>
      </c>
      <c r="C13" s="3">
        <f>Wykonanie!C13</f>
        <v/>
      </c>
      <c r="D13" s="3">
        <f>Wykonanie!P13</f>
        <v/>
      </c>
      <c r="E13" s="3">
        <f>D13/$B$2</f>
        <v/>
      </c>
      <c r="F13" s="3">
        <f>E13*12</f>
        <v/>
      </c>
      <c r="G13" s="3">
        <f>F13-C13</f>
        <v/>
      </c>
    </row>
    <row r="14">
      <c r="A14" s="5" t="inlineStr">
        <is>
          <t>Razem</t>
        </is>
      </c>
      <c r="C14" s="6">
        <f>SUM(C6:C13)</f>
        <v/>
      </c>
      <c r="D14" s="6">
        <f>SUM(D6:D13)</f>
        <v/>
      </c>
      <c r="E14" s="6">
        <f>SUM(E6:E13)</f>
        <v/>
      </c>
      <c r="F14" s="6">
        <f>SUM(F6:F13)</f>
        <v/>
      </c>
      <c r="G14" s="6">
        <f>SUM(G6:G13)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2026-09-20T09:23:38Z</dcterms:created>
  <dcterms:modified xmlns:dcterms="http://purl.org/dc/terms/" xmlns:xsi="http://www.w3.org/2001/XMLSchema-instance" xsi:type="dcterms:W3CDTF">2026-09-20T09:23:38Z</dcterms:modified>
</cp:coreProperties>
</file>